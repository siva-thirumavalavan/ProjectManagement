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larskubler/Desktop/"/>
    </mc:Choice>
  </mc:AlternateContent>
  <xr:revisionPtr revIDLastSave="0" documentId="13_ncr:1_{C6F57690-F3E9-E541-ABEA-F1FBFB2DF79E}" xr6:coauthVersionLast="46" xr6:coauthVersionMax="46" xr10:uidLastSave="{00000000-0000-0000-0000-000000000000}"/>
  <bookViews>
    <workbookView xWindow="-34540" yWindow="500" windowWidth="36520" windowHeight="21100" tabRatio="500" activeTab="2" xr2:uid="{00000000-000D-0000-FFFF-FFFF00000000}"/>
  </bookViews>
  <sheets>
    <sheet name="4 Year Cash Flow Statement" sheetId="4" r:id="rId1"/>
    <sheet name="Summary and Returns" sheetId="7" r:id="rId2"/>
    <sheet name="Graphs" sheetId="6" r:id="rId3"/>
  </sheets>
  <externalReferences>
    <externalReference r:id="rId4"/>
    <externalReference r:id="rId5"/>
    <externalReference r:id="rId6"/>
  </externalReferences>
  <definedNames>
    <definedName name="CustomerList">[1]!Table3[Full Name]</definedName>
    <definedName name="CustomerTable">[1]!Table3[#Data]</definedName>
    <definedName name="Interval">#REF!</definedName>
    <definedName name="_xlnm.Print_Area" localSheetId="0">'4 Year Cash Flow Statement'!$B$1:$F$26</definedName>
    <definedName name="_xlnm.Print_Area" localSheetId="2">Graphs!$B$2:$G$30</definedName>
    <definedName name="_xlnm.Print_Area" localSheetId="1">'Summary and Returns'!$B$2:$H$35</definedName>
    <definedName name="ProductList">[1]!Table2[Product]</definedName>
    <definedName name="ProductTable">[1]!Table2[#Data]</definedName>
    <definedName name="REASSESSMENT_DATE">#REF!</definedName>
    <definedName name="ScheduleStart">#REF!</definedName>
    <definedName name="Type">'[2]Maintenance Work Order'!#REF!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2" i="7" l="1"/>
  <c r="D21" i="4" l="1"/>
  <c r="E23" i="7"/>
  <c r="G11" i="7"/>
  <c r="E11" i="7"/>
  <c r="E16" i="7"/>
  <c r="F8" i="7"/>
  <c r="E8" i="7"/>
  <c r="E3" i="7"/>
  <c r="E4" i="7" s="1"/>
  <c r="E2" i="7"/>
  <c r="F2" i="7" s="1"/>
  <c r="E30" i="7"/>
  <c r="F30" i="7" s="1"/>
  <c r="G30" i="7" s="1"/>
  <c r="H30" i="7" s="1"/>
  <c r="C21" i="6"/>
  <c r="D7" i="4"/>
  <c r="F16" i="7" s="1"/>
  <c r="D4" i="4"/>
  <c r="D21" i="6" s="1"/>
  <c r="D6" i="4"/>
  <c r="E6" i="4"/>
  <c r="F6" i="4" s="1"/>
  <c r="H8" i="7" s="1"/>
  <c r="C3" i="4"/>
  <c r="C8" i="4" s="1"/>
  <c r="C22" i="4"/>
  <c r="C16" i="4"/>
  <c r="C17" i="4" s="1"/>
  <c r="D22" i="4"/>
  <c r="D15" i="4"/>
  <c r="E15" i="4" s="1"/>
  <c r="D10" i="4"/>
  <c r="F23" i="7" s="1"/>
  <c r="D11" i="4"/>
  <c r="F11" i="7" s="1"/>
  <c r="E11" i="4"/>
  <c r="F11" i="4" s="1"/>
  <c r="H11" i="7" s="1"/>
  <c r="E16" i="4" l="1"/>
  <c r="E17" i="4" s="1"/>
  <c r="E18" i="4"/>
  <c r="F15" i="4"/>
  <c r="E10" i="4"/>
  <c r="G8" i="7"/>
  <c r="C22" i="6"/>
  <c r="D16" i="4"/>
  <c r="E7" i="4"/>
  <c r="F7" i="4" s="1"/>
  <c r="E17" i="7"/>
  <c r="C18" i="4"/>
  <c r="E21" i="4"/>
  <c r="F21" i="4" s="1"/>
  <c r="F22" i="4" s="1"/>
  <c r="C12" i="4"/>
  <c r="C13" i="4" s="1"/>
  <c r="C24" i="4" s="1"/>
  <c r="C26" i="4" s="1"/>
  <c r="D25" i="4" s="1"/>
  <c r="F3" i="7"/>
  <c r="F4" i="7" s="1"/>
  <c r="E7" i="7"/>
  <c r="C23" i="6" s="1"/>
  <c r="E4" i="4"/>
  <c r="D3" i="4"/>
  <c r="F7" i="7" s="1"/>
  <c r="D23" i="6" s="1"/>
  <c r="C20" i="6"/>
  <c r="G2" i="7"/>
  <c r="F24" i="7"/>
  <c r="D20" i="6"/>
  <c r="E5" i="7"/>
  <c r="E24" i="7"/>
  <c r="D17" i="4" l="1"/>
  <c r="D18" i="4"/>
  <c r="F17" i="7"/>
  <c r="F18" i="7" s="1"/>
  <c r="F16" i="4"/>
  <c r="F17" i="4" s="1"/>
  <c r="F18" i="4"/>
  <c r="H17" i="7"/>
  <c r="F10" i="4"/>
  <c r="H23" i="7" s="1"/>
  <c r="G23" i="7"/>
  <c r="G16" i="7"/>
  <c r="E22" i="6"/>
  <c r="E22" i="4"/>
  <c r="D22" i="6"/>
  <c r="G17" i="7"/>
  <c r="G3" i="7"/>
  <c r="G4" i="7" s="1"/>
  <c r="E3" i="4"/>
  <c r="F4" i="4"/>
  <c r="E21" i="6"/>
  <c r="D8" i="4"/>
  <c r="D12" i="4" s="1"/>
  <c r="D13" i="4" s="1"/>
  <c r="D24" i="4" s="1"/>
  <c r="D26" i="4" s="1"/>
  <c r="E25" i="4" s="1"/>
  <c r="H16" i="7"/>
  <c r="E9" i="7"/>
  <c r="E13" i="7" s="1"/>
  <c r="F9" i="7"/>
  <c r="F13" i="7" s="1"/>
  <c r="F20" i="7" s="1"/>
  <c r="F21" i="7" s="1"/>
  <c r="H2" i="7"/>
  <c r="E20" i="6"/>
  <c r="G24" i="7"/>
  <c r="E18" i="7"/>
  <c r="F5" i="7"/>
  <c r="H18" i="7" l="1"/>
  <c r="G18" i="7"/>
  <c r="F22" i="6"/>
  <c r="E14" i="7"/>
  <c r="E20" i="7"/>
  <c r="E21" i="7" s="1"/>
  <c r="F21" i="6"/>
  <c r="F3" i="4"/>
  <c r="H3" i="7"/>
  <c r="H4" i="7" s="1"/>
  <c r="G7" i="7"/>
  <c r="E23" i="6" s="1"/>
  <c r="E8" i="4"/>
  <c r="E12" i="4" s="1"/>
  <c r="H24" i="7"/>
  <c r="F20" i="6"/>
  <c r="F14" i="7"/>
  <c r="G5" i="7"/>
  <c r="G9" i="7" l="1"/>
  <c r="G13" i="7" s="1"/>
  <c r="G14" i="7"/>
  <c r="G20" i="7"/>
  <c r="G26" i="7" s="1"/>
  <c r="G31" i="7" s="1"/>
  <c r="G33" i="7" s="1"/>
  <c r="E13" i="4"/>
  <c r="E24" i="4" s="1"/>
  <c r="E26" i="4" s="1"/>
  <c r="F25" i="4" s="1"/>
  <c r="H7" i="7"/>
  <c r="F23" i="6" s="1"/>
  <c r="F8" i="4"/>
  <c r="E26" i="7"/>
  <c r="E31" i="7" s="1"/>
  <c r="E33" i="7" s="1"/>
  <c r="H5" i="7"/>
  <c r="F26" i="7"/>
  <c r="F31" i="7" s="1"/>
  <c r="F33" i="7" s="1"/>
  <c r="H9" i="7" l="1"/>
  <c r="H13" i="7" s="1"/>
  <c r="H20" i="7" s="1"/>
  <c r="F12" i="4"/>
  <c r="F13" i="4" s="1"/>
  <c r="F24" i="4" s="1"/>
  <c r="F26" i="4" s="1"/>
  <c r="G21" i="7"/>
  <c r="E27" i="7"/>
  <c r="F27" i="7" s="1"/>
  <c r="G27" i="7" s="1"/>
  <c r="H14" i="7"/>
  <c r="H21" i="7" l="1"/>
  <c r="H26" i="7"/>
  <c r="H31" i="7" l="1"/>
  <c r="H33" i="7" s="1"/>
  <c r="C35" i="7" s="1"/>
  <c r="H27" i="7"/>
  <c r="C24" i="6" l="1"/>
  <c r="C25" i="6" s="1"/>
  <c r="D24" i="6"/>
  <c r="D25" i="6" s="1"/>
  <c r="E24" i="6"/>
  <c r="E25" i="6" s="1"/>
  <c r="F24" i="6"/>
  <c r="F25" i="6" s="1"/>
  <c r="F26" i="6" l="1"/>
  <c r="D26" i="6"/>
  <c r="E27" i="6"/>
  <c r="E26" i="6"/>
  <c r="C26" i="6"/>
  <c r="F27" i="6"/>
  <c r="C27" i="6"/>
  <c r="D27" i="6"/>
  <c r="C28" i="6" l="1"/>
  <c r="D28" i="6" s="1"/>
  <c r="E28" i="6" s="1"/>
  <c r="F28" i="6" s="1"/>
</calcChain>
</file>

<file path=xl/sharedStrings.xml><?xml version="1.0" encoding="utf-8"?>
<sst xmlns="http://schemas.openxmlformats.org/spreadsheetml/2006/main" count="57" uniqueCount="51">
  <si>
    <t>Net Increase or Decrease In Cash and Cash Equivalents During Period</t>
  </si>
  <si>
    <t>Cash and Cash Equivalents at Beginning of Period</t>
  </si>
  <si>
    <t xml:space="preserve">           Amount of Users</t>
  </si>
  <si>
    <t xml:space="preserve">           Subscription Price </t>
  </si>
  <si>
    <t xml:space="preserve">Cash Flows from Operating Activities </t>
  </si>
  <si>
    <t>Net Cash Flow from Operations</t>
  </si>
  <si>
    <t xml:space="preserve">Cash received from Customers </t>
  </si>
  <si>
    <t xml:space="preserve">Cash Received from E-Commerce Partnerships </t>
  </si>
  <si>
    <t xml:space="preserve">Research &amp; Development Cost </t>
  </si>
  <si>
    <t>Cash paid to Staff &amp; Employees</t>
  </si>
  <si>
    <t>Taxes</t>
  </si>
  <si>
    <t xml:space="preserve">Advertising Cost </t>
  </si>
  <si>
    <t xml:space="preserve">Cash Generated from Operating Activities </t>
  </si>
  <si>
    <t xml:space="preserve">Hardware &amp; Software  Purchases </t>
  </si>
  <si>
    <t xml:space="preserve">Hardware Replacement </t>
  </si>
  <si>
    <t xml:space="preserve">Proceeds from Hardware / Equipment  Sales </t>
  </si>
  <si>
    <t>Net Cash Flow from Investments</t>
  </si>
  <si>
    <t xml:space="preserve">Proceeds from Capital Contributed </t>
  </si>
  <si>
    <t xml:space="preserve">Loan Payments </t>
  </si>
  <si>
    <t xml:space="preserve">Net Cash Flow from Financing </t>
  </si>
  <si>
    <t>Cash Flows from Financing</t>
  </si>
  <si>
    <t>Cash Flows from Investment</t>
  </si>
  <si>
    <t xml:space="preserve"> </t>
  </si>
  <si>
    <t xml:space="preserve">Year End </t>
  </si>
  <si>
    <t>Cumulative Cash Flow</t>
  </si>
  <si>
    <t>Cash Flow</t>
  </si>
  <si>
    <t>EBITDA</t>
  </si>
  <si>
    <t>Total Revenue</t>
  </si>
  <si>
    <t>Revenue (Partnerships)</t>
  </si>
  <si>
    <t>Revenue (Subscription Version)</t>
  </si>
  <si>
    <t>Total Operating and Direct Costs</t>
  </si>
  <si>
    <t>Active Users (Subscription Version)</t>
  </si>
  <si>
    <t>NPV</t>
  </si>
  <si>
    <t>Total Returns</t>
  </si>
  <si>
    <t>Returns</t>
  </si>
  <si>
    <t>Total Capex</t>
  </si>
  <si>
    <t>Development Cost</t>
  </si>
  <si>
    <t>EBITDA Margin %</t>
  </si>
  <si>
    <t>Total Opex</t>
  </si>
  <si>
    <t>General Opex</t>
  </si>
  <si>
    <t>Salaries</t>
  </si>
  <si>
    <t>Gross Margin %</t>
  </si>
  <si>
    <t>GROSS MARGIN</t>
  </si>
  <si>
    <t>Total Direct Costs</t>
  </si>
  <si>
    <t>Partnership revenue</t>
  </si>
  <si>
    <t>Market Reach</t>
  </si>
  <si>
    <t>Active Users</t>
  </si>
  <si>
    <t>Addressable Users (Subscription Version)</t>
  </si>
  <si>
    <t>Cash Flow Summary</t>
  </si>
  <si>
    <t xml:space="preserve">Subscription Income </t>
  </si>
  <si>
    <t xml:space="preserve">Terminal Value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</si>
</sst>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&quot;$&quot;* #,##0.00_);_(&quot;$&quot;* \(#,##0.00\);_(&quot;$&quot;* &quot;-&quot;??_);_(@_)"/>
    <numFmt numFmtId="167" formatCode="_-* #,##0_-;\-* #,##0_-;_-* &quot;-&quot;??_-;_-@_-"/>
    <numFmt numFmtId="168" formatCode="&quot;€&quot;#,##0.00"/>
    <numFmt numFmtId="169" formatCode="0.0%"/>
    <numFmt numFmtId="171" formatCode="0.0"/>
    <numFmt numFmtId="173" formatCode="[$€-2]\ #,##0.00"/>
    <numFmt numFmtId="174" formatCode="#,##0_ ;\-#,##0\ "/>
  </numFmts>
  <fonts count="1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entury Gothic"/>
      <family val="1"/>
    </font>
    <font>
      <sz val="9"/>
      <color theme="1"/>
      <name val="Century Gothic"/>
      <family val="1"/>
    </font>
    <font>
      <b/>
      <sz val="11"/>
      <name val="Century Gothic"/>
      <family val="1"/>
    </font>
    <font>
      <b/>
      <sz val="11"/>
      <color theme="1"/>
      <name val="Century Gothic"/>
      <family val="1"/>
    </font>
    <font>
      <i/>
      <sz val="9"/>
      <color theme="1"/>
      <name val="Century Gothic"/>
      <family val="1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2161C"/>
        <bgColor indexed="64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/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1"/>
    <xf numFmtId="0" fontId="3" fillId="0" borderId="0" xfId="1" applyFont="1" applyAlignment="1">
      <alignment horizontal="center" wrapText="1"/>
    </xf>
    <xf numFmtId="0" fontId="1" fillId="0" borderId="0" xfId="1" applyAlignment="1">
      <alignment horizontal="center" wrapText="1"/>
    </xf>
    <xf numFmtId="0" fontId="3" fillId="0" borderId="0" xfId="1" applyFont="1"/>
    <xf numFmtId="0" fontId="6" fillId="3" borderId="3" xfId="1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left" vertical="center" wrapText="1" indent="1"/>
    </xf>
    <xf numFmtId="0" fontId="5" fillId="0" borderId="0" xfId="1" applyFont="1" applyAlignment="1">
      <alignment vertical="center"/>
    </xf>
    <xf numFmtId="0" fontId="6" fillId="0" borderId="2" xfId="1" applyFont="1" applyFill="1" applyBorder="1" applyAlignment="1">
      <alignment horizontal="center" vertical="center" wrapText="1"/>
    </xf>
    <xf numFmtId="0" fontId="8" fillId="0" borderId="0" xfId="1" applyFont="1" applyAlignment="1">
      <alignment horizontal="left" vertical="center" wrapText="1"/>
    </xf>
    <xf numFmtId="0" fontId="1" fillId="0" borderId="0" xfId="1" applyAlignment="1">
      <alignment wrapText="1"/>
    </xf>
    <xf numFmtId="0" fontId="4" fillId="2" borderId="1" xfId="1" applyFont="1" applyFill="1" applyBorder="1" applyAlignment="1">
      <alignment horizontal="left" vertical="center" wrapText="1" indent="1"/>
    </xf>
    <xf numFmtId="0" fontId="4" fillId="2" borderId="4" xfId="1" applyFont="1" applyFill="1" applyBorder="1" applyAlignment="1">
      <alignment horizontal="left" vertical="center" wrapText="1" indent="1"/>
    </xf>
    <xf numFmtId="0" fontId="7" fillId="4" borderId="5" xfId="1" applyFont="1" applyFill="1" applyBorder="1" applyAlignment="1">
      <alignment horizontal="right" vertical="center" wrapText="1" indent="1"/>
    </xf>
    <xf numFmtId="0" fontId="4" fillId="6" borderId="3" xfId="1" applyFont="1" applyFill="1" applyBorder="1" applyAlignment="1">
      <alignment horizontal="left" vertical="center" wrapText="1" indent="1"/>
    </xf>
    <xf numFmtId="0" fontId="7" fillId="5" borderId="5" xfId="1" applyFont="1" applyFill="1" applyBorder="1" applyAlignment="1">
      <alignment horizontal="right" vertical="center" wrapText="1" indent="1"/>
    </xf>
    <xf numFmtId="0" fontId="7" fillId="2" borderId="1" xfId="1" applyFont="1" applyFill="1" applyBorder="1" applyAlignment="1">
      <alignment horizontal="left" vertical="center" wrapText="1" indent="1"/>
    </xf>
    <xf numFmtId="167" fontId="9" fillId="0" borderId="0" xfId="4" applyNumberFormat="1" applyFont="1"/>
    <xf numFmtId="0" fontId="9" fillId="0" borderId="0" xfId="1" applyFont="1"/>
    <xf numFmtId="167" fontId="3" fillId="0" borderId="9" xfId="4" applyNumberFormat="1" applyFont="1" applyBorder="1"/>
    <xf numFmtId="0" fontId="3" fillId="0" borderId="9" xfId="1" applyFont="1" applyBorder="1"/>
    <xf numFmtId="167" fontId="0" fillId="0" borderId="0" xfId="4" applyNumberFormat="1" applyFont="1"/>
    <xf numFmtId="167" fontId="9" fillId="5" borderId="0" xfId="4" applyNumberFormat="1" applyFont="1" applyFill="1"/>
    <xf numFmtId="0" fontId="9" fillId="5" borderId="0" xfId="1" applyFont="1" applyFill="1"/>
    <xf numFmtId="0" fontId="10" fillId="7" borderId="0" xfId="1" applyFont="1" applyFill="1" applyAlignment="1">
      <alignment horizontal="center"/>
    </xf>
    <xf numFmtId="0" fontId="10" fillId="7" borderId="0" xfId="1" applyFont="1" applyFill="1"/>
    <xf numFmtId="0" fontId="11" fillId="0" borderId="0" xfId="2" quotePrefix="1" applyFont="1"/>
    <xf numFmtId="168" fontId="1" fillId="0" borderId="10" xfId="1" applyNumberFormat="1" applyBorder="1"/>
    <xf numFmtId="0" fontId="1" fillId="0" borderId="11" xfId="1" applyBorder="1"/>
    <xf numFmtId="169" fontId="0" fillId="0" borderId="12" xfId="5" applyNumberFormat="1" applyFont="1" applyBorder="1"/>
    <xf numFmtId="171" fontId="9" fillId="0" borderId="13" xfId="1" applyNumberFormat="1" applyFont="1" applyBorder="1"/>
    <xf numFmtId="167" fontId="1" fillId="0" borderId="0" xfId="1" applyNumberFormat="1"/>
    <xf numFmtId="167" fontId="9" fillId="0" borderId="0" xfId="1" applyNumberFormat="1" applyFont="1"/>
    <xf numFmtId="167" fontId="3" fillId="6" borderId="9" xfId="1" applyNumberFormat="1" applyFont="1" applyFill="1" applyBorder="1"/>
    <xf numFmtId="0" fontId="3" fillId="6" borderId="9" xfId="1" applyFont="1" applyFill="1" applyBorder="1"/>
    <xf numFmtId="0" fontId="1" fillId="0" borderId="0" xfId="1" applyAlignment="1">
      <alignment horizontal="left" indent="1"/>
    </xf>
    <xf numFmtId="169" fontId="9" fillId="0" borderId="0" xfId="5" applyNumberFormat="1" applyFont="1"/>
    <xf numFmtId="169" fontId="9" fillId="0" borderId="0" xfId="5" applyNumberFormat="1" applyFont="1" applyAlignment="1">
      <alignment horizontal="right"/>
    </xf>
    <xf numFmtId="0" fontId="1" fillId="0" borderId="0" xfId="1" applyAlignment="1">
      <alignment horizontal="left"/>
    </xf>
    <xf numFmtId="0" fontId="1" fillId="6" borderId="0" xfId="1" applyFill="1"/>
    <xf numFmtId="169" fontId="9" fillId="6" borderId="14" xfId="5" applyNumberFormat="1" applyFont="1" applyFill="1" applyBorder="1"/>
    <xf numFmtId="0" fontId="9" fillId="6" borderId="14" xfId="1" applyFont="1" applyFill="1" applyBorder="1"/>
    <xf numFmtId="173" fontId="6" fillId="3" borderId="8" xfId="1" applyNumberFormat="1" applyFont="1" applyFill="1" applyBorder="1" applyAlignment="1">
      <alignment horizontal="center" vertical="center"/>
    </xf>
    <xf numFmtId="174" fontId="3" fillId="0" borderId="9" xfId="1" applyNumberFormat="1" applyFont="1" applyBorder="1"/>
    <xf numFmtId="2" fontId="1" fillId="6" borderId="0" xfId="1" applyNumberFormat="1" applyFill="1"/>
    <xf numFmtId="2" fontId="0" fillId="6" borderId="0" xfId="4" applyNumberFormat="1" applyFont="1" applyFill="1"/>
    <xf numFmtId="174" fontId="0" fillId="0" borderId="0" xfId="4" applyNumberFormat="1" applyFont="1"/>
    <xf numFmtId="173" fontId="4" fillId="2" borderId="2" xfId="1" applyNumberFormat="1" applyFont="1" applyFill="1" applyBorder="1" applyAlignment="1">
      <alignment horizontal="center" vertical="center"/>
    </xf>
    <xf numFmtId="173" fontId="6" fillId="4" borderId="7" xfId="1" applyNumberFormat="1" applyFont="1" applyFill="1" applyBorder="1" applyAlignment="1">
      <alignment horizontal="center" vertical="center"/>
    </xf>
    <xf numFmtId="173" fontId="6" fillId="6" borderId="8" xfId="1" applyNumberFormat="1" applyFont="1" applyFill="1" applyBorder="1" applyAlignment="1">
      <alignment horizontal="center" vertical="center"/>
    </xf>
    <xf numFmtId="173" fontId="6" fillId="0" borderId="6" xfId="1" applyNumberFormat="1" applyFont="1" applyBorder="1" applyAlignment="1">
      <alignment horizontal="center" vertical="center"/>
    </xf>
    <xf numFmtId="173" fontId="6" fillId="5" borderId="7" xfId="1" applyNumberFormat="1" applyFont="1" applyFill="1" applyBorder="1" applyAlignment="1">
      <alignment horizontal="center" vertical="center"/>
    </xf>
  </cellXfs>
  <cellStyles count="6">
    <cellStyle name="Comma 2" xfId="4" xr:uid="{551D2B5A-CA5B-0E4E-A42D-86437282327A}"/>
    <cellStyle name="Currency 2" xfId="3" xr:uid="{77AB4FD5-5B83-A040-9D5D-74B2B7954BBD}"/>
    <cellStyle name="Hyperlink 2" xfId="2" xr:uid="{FA188BE9-186F-BE4D-9B4F-14E3B9C149FE}"/>
    <cellStyle name="Normal" xfId="0" builtinId="0"/>
    <cellStyle name="Normal 2" xfId="1" xr:uid="{D5D4E633-8ECD-A74A-B0F0-6993580870F8}"/>
    <cellStyle name="Per cent 2" xfId="5" xr:uid="{E060B1A4-B25A-FE4C-8AA1-9916B563C3DD}"/>
  </cellStyles>
  <dxfs count="7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Medium4"/>
  <colors>
    <mruColors>
      <color rgb="FFEAEEF3"/>
      <color rgb="FFF7F9FB"/>
      <color rgb="FFECF1F7"/>
      <color rgb="FFBCE659"/>
      <color rgb="FF00BD32"/>
      <color rgb="FFAEE67C"/>
      <color rgb="FF03C25B"/>
      <color rgb="FFDAF0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Cash Flow Evolvement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Graphs!$B$25</c:f>
              <c:strCache>
                <c:ptCount val="1"/>
                <c:pt idx="0">
                  <c:v>Total Revenue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47000"/>
                    <a:tint val="100000"/>
                    <a:shade val="100000"/>
                    <a:satMod val="130000"/>
                  </a:schemeClr>
                </a:gs>
                <a:gs pos="100000">
                  <a:schemeClr val="accent5">
                    <a:shade val="47000"/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Graphs!$C$25:$F$25</c:f>
              <c:numCache>
                <c:formatCode>_-* #,##0_-;\-* #,##0_-;_-* "-"??_-;_-@_-</c:formatCode>
                <c:ptCount val="4"/>
                <c:pt idx="0">
                  <c:v>324250</c:v>
                </c:pt>
                <c:pt idx="1">
                  <c:v>498875</c:v>
                </c:pt>
                <c:pt idx="2">
                  <c:v>748312.5</c:v>
                </c:pt>
                <c:pt idx="3">
                  <c:v>1122468.75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0-DD4F-B8C4-23509559EB9B}"/>
            </c:ext>
          </c:extLst>
        </c:ser>
        <c:ser>
          <c:idx val="6"/>
          <c:order val="2"/>
          <c:tx>
            <c:strRef>
              <c:f>Graphs!$B$22</c:f>
              <c:strCache>
                <c:ptCount val="1"/>
                <c:pt idx="0">
                  <c:v>Total Operating and Direct Costs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8000"/>
                    <a:tint val="100000"/>
                    <a:shade val="100000"/>
                    <a:satMod val="130000"/>
                  </a:schemeClr>
                </a:gs>
                <a:gs pos="100000">
                  <a:schemeClr val="accent5">
                    <a:tint val="48000"/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Graphs!$C$22:$F$22</c:f>
              <c:numCache>
                <c:formatCode>_-* #,##0_-;\-* #,##0_-;_-* "-"??_-;_-@_-</c:formatCode>
                <c:ptCount val="4"/>
                <c:pt idx="0">
                  <c:v>343500</c:v>
                </c:pt>
                <c:pt idx="1">
                  <c:v>353250</c:v>
                </c:pt>
                <c:pt idx="2">
                  <c:v>405825</c:v>
                </c:pt>
                <c:pt idx="3">
                  <c:v>514875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0-DD4F-B8C4-23509559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0"/>
        <c:axId val="597177856"/>
        <c:axId val="597178512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Graphs!$B$27</c15:sqref>
                        </c15:formulaRef>
                      </c:ext>
                    </c:extLst>
                    <c:strCache>
                      <c:ptCount val="1"/>
                      <c:pt idx="0">
                        <c:v>Cash Flow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hade val="82000"/>
                          <a:tint val="100000"/>
                          <a:shade val="100000"/>
                          <a:satMod val="130000"/>
                        </a:schemeClr>
                      </a:gs>
                      <a:gs pos="100000">
                        <a:schemeClr val="accent5">
                          <a:shade val="82000"/>
                          <a:tint val="50000"/>
                          <a:shade val="100000"/>
                          <a:satMod val="350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Graphs!$C$20:$F$20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2021</c:v>
                      </c:pt>
                      <c:pt idx="1">
                        <c:v>2022</c:v>
                      </c:pt>
                      <c:pt idx="2">
                        <c:v>2023</c:v>
                      </c:pt>
                      <c:pt idx="3">
                        <c:v>2024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Graphs!$C$27:$F$27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4"/>
                      <c:pt idx="0">
                        <c:v>380750</c:v>
                      </c:pt>
                      <c:pt idx="1">
                        <c:v>445625</c:v>
                      </c:pt>
                      <c:pt idx="2">
                        <c:v>567487.5</c:v>
                      </c:pt>
                      <c:pt idx="3">
                        <c:v>776343.75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C70-DD4F-B8C4-23509559EB9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Graphs!$B$28</c:f>
              <c:strCache>
                <c:ptCount val="1"/>
                <c:pt idx="0">
                  <c:v>Cumulative Cash Flow</c:v>
                </c:pt>
              </c:strCache>
            </c:strRef>
          </c:tx>
          <c:spPr>
            <a:ln w="31750" cap="rnd">
              <a:solidFill>
                <a:srgbClr val="00206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Graphs!$C$20:$F$20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Graphs!$C$28:$F$28</c:f>
              <c:numCache>
                <c:formatCode>_-* #,##0_-;\-* #,##0_-;_-* "-"??_-;_-@_-</c:formatCode>
                <c:ptCount val="4"/>
                <c:pt idx="0">
                  <c:v>380750</c:v>
                </c:pt>
                <c:pt idx="1">
                  <c:v>826375</c:v>
                </c:pt>
                <c:pt idx="2">
                  <c:v>1393862.5</c:v>
                </c:pt>
                <c:pt idx="3">
                  <c:v>2170206.25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70-DD4F-B8C4-23509559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867056"/>
        <c:axId val="495917440"/>
      </c:lineChart>
      <c:catAx>
        <c:axId val="59717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597178512"/>
        <c:crosses val="autoZero"/>
        <c:auto val="1"/>
        <c:lblAlgn val="ctr"/>
        <c:lblOffset val="100"/>
        <c:noMultiLvlLbl val="0"/>
      </c:catAx>
      <c:valAx>
        <c:axId val="59717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Total</a:t>
                </a:r>
                <a:r>
                  <a:rPr lang="en-GB" sz="1200" baseline="0"/>
                  <a:t> Revenau &amp; Cost</a:t>
                </a:r>
              </a:p>
              <a:p>
                <a:pPr>
                  <a:defRPr sz="1200"/>
                </a:pPr>
                <a:r>
                  <a:rPr lang="en-GB" sz="1200" baseline="0"/>
                  <a:t> </a:t>
                </a:r>
                <a:endParaRPr lang="en-GB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597177856"/>
        <c:crosses val="autoZero"/>
        <c:crossBetween val="between"/>
      </c:valAx>
      <c:valAx>
        <c:axId val="4959174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GB" sz="1200"/>
              </a:p>
              <a:p>
                <a:pPr>
                  <a:defRPr sz="1200"/>
                </a:pPr>
                <a:r>
                  <a:rPr lang="en-GB" sz="1200"/>
                  <a:t>Cumulative</a:t>
                </a:r>
                <a:r>
                  <a:rPr lang="en-GB" sz="1200" baseline="0"/>
                  <a:t> Cash Flow </a:t>
                </a:r>
                <a:endParaRPr lang="en-GB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573867056"/>
        <c:crosses val="max"/>
        <c:crossBetween val="between"/>
      </c:valAx>
      <c:catAx>
        <c:axId val="57386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591744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104773</xdr:rowOff>
    </xdr:from>
    <xdr:to>
      <xdr:col>13</xdr:col>
      <xdr:colOff>63500</xdr:colOff>
      <xdr:row>18</xdr:row>
      <xdr:rowOff>809625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EF87A5-2B1F-4D45-8105-585896C17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096b9be3a3efe314/Documents/Lissa%20SEO%20work/Smartsheet/SS-%20Sales%20Order%20Form%20How-to%20and%20Template/IC-Sales%20Order%20Form%20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arskubler/Downloads/Project_cash_flow_simul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 Form"/>
      <sheetName val="Products"/>
      <sheetName val="CustomerList"/>
      <sheetName val="- Disclaimer -"/>
      <sheetName val="IC-Sales Order Form Template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Assumptions"/>
      <sheetName val="Cash Flow Model"/>
      <sheetName val="References"/>
      <sheetName val="Food Waste saving"/>
    </sheetNames>
    <sheetDataSet>
      <sheetData sheetId="0" refreshError="1"/>
      <sheetData sheetId="1">
        <row r="7">
          <cell r="C7">
            <v>44287</v>
          </cell>
        </row>
      </sheetData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89BAA-10EB-6C4F-8846-D57999F8E0B1}">
  <sheetPr>
    <tabColor theme="3" tint="0.39997558519241921"/>
    <pageSetUpPr fitToPage="1"/>
  </sheetPr>
  <dimension ref="A1:F26"/>
  <sheetViews>
    <sheetView showGridLines="0" zoomScale="80" zoomScaleNormal="80" zoomScaleSheetLayoutView="70" zoomScalePageLayoutView="20" workbookViewId="0">
      <pane ySplit="1" topLeftCell="A2" activePane="bottomLeft" state="frozen"/>
      <selection pane="bottomLeft" activeCell="H36" sqref="H36"/>
    </sheetView>
  </sheetViews>
  <sheetFormatPr baseColWidth="10" defaultColWidth="8.83203125" defaultRowHeight="15" x14ac:dyDescent="0.2"/>
  <cols>
    <col min="1" max="1" width="3.33203125" style="1" customWidth="1"/>
    <col min="2" max="2" width="65.83203125" style="10" customWidth="1"/>
    <col min="3" max="6" width="20.83203125" style="1" customWidth="1"/>
    <col min="7" max="7" width="3.33203125" style="1" customWidth="1"/>
    <col min="8" max="16384" width="8.83203125" style="1"/>
  </cols>
  <sheetData>
    <row r="1" spans="1:6" ht="20" customHeight="1" x14ac:dyDescent="0.2">
      <c r="A1" s="7"/>
      <c r="B1" s="9"/>
      <c r="C1" s="7"/>
      <c r="D1" s="7"/>
      <c r="E1" s="7"/>
      <c r="F1" s="7"/>
    </row>
    <row r="2" spans="1:6" s="3" customFormat="1" ht="30" customHeight="1" x14ac:dyDescent="0.2">
      <c r="B2" s="6" t="s">
        <v>4</v>
      </c>
      <c r="C2" s="8">
        <v>2021</v>
      </c>
      <c r="D2" s="8">
        <v>2022</v>
      </c>
      <c r="E2" s="8">
        <v>2023</v>
      </c>
      <c r="F2" s="8">
        <v>2024</v>
      </c>
    </row>
    <row r="3" spans="1:6" ht="30" customHeight="1" x14ac:dyDescent="0.2">
      <c r="B3" s="11" t="s">
        <v>6</v>
      </c>
      <c r="C3" s="47">
        <f>C4*C5</f>
        <v>299250</v>
      </c>
      <c r="D3" s="47">
        <f>D4*D5</f>
        <v>448875</v>
      </c>
      <c r="E3" s="47">
        <f t="shared" ref="E3:F3" si="0">E4*E5</f>
        <v>673312.5</v>
      </c>
      <c r="F3" s="47">
        <f t="shared" si="0"/>
        <v>1009968.75</v>
      </c>
    </row>
    <row r="4" spans="1:6" ht="30" customHeight="1" x14ac:dyDescent="0.2">
      <c r="B4" s="11" t="s">
        <v>2</v>
      </c>
      <c r="C4" s="47">
        <v>75000</v>
      </c>
      <c r="D4" s="47">
        <f>C4*1.5</f>
        <v>112500</v>
      </c>
      <c r="E4" s="47">
        <f t="shared" ref="E4:F4" si="1">D4*1.5</f>
        <v>168750</v>
      </c>
      <c r="F4" s="47">
        <f t="shared" si="1"/>
        <v>253125</v>
      </c>
    </row>
    <row r="5" spans="1:6" ht="30" customHeight="1" x14ac:dyDescent="0.2">
      <c r="B5" s="11" t="s">
        <v>3</v>
      </c>
      <c r="C5" s="47">
        <v>3.99</v>
      </c>
      <c r="D5" s="47">
        <v>3.99</v>
      </c>
      <c r="E5" s="47">
        <v>3.99</v>
      </c>
      <c r="F5" s="47">
        <v>3.99</v>
      </c>
    </row>
    <row r="6" spans="1:6" ht="30" customHeight="1" x14ac:dyDescent="0.2">
      <c r="B6" s="11" t="s">
        <v>7</v>
      </c>
      <c r="C6" s="47">
        <v>25000</v>
      </c>
      <c r="D6" s="47">
        <f>C6*2</f>
        <v>50000</v>
      </c>
      <c r="E6" s="47">
        <f t="shared" ref="E6:F7" si="2">D6*1.5</f>
        <v>75000</v>
      </c>
      <c r="F6" s="47">
        <f t="shared" si="2"/>
        <v>112500</v>
      </c>
    </row>
    <row r="7" spans="1:6" ht="30" customHeight="1" x14ac:dyDescent="0.2">
      <c r="B7" s="11" t="s">
        <v>9</v>
      </c>
      <c r="C7" s="47">
        <v>-75000</v>
      </c>
      <c r="D7" s="47">
        <f>C7*1.5</f>
        <v>-112500</v>
      </c>
      <c r="E7" s="47">
        <f t="shared" si="2"/>
        <v>-168750</v>
      </c>
      <c r="F7" s="47">
        <f>E7*1.5</f>
        <v>-253125</v>
      </c>
    </row>
    <row r="8" spans="1:6" ht="30" customHeight="1" x14ac:dyDescent="0.2">
      <c r="B8" s="16" t="s">
        <v>12</v>
      </c>
      <c r="C8" s="47">
        <f>SUM(C3:C7)</f>
        <v>324253.99</v>
      </c>
      <c r="D8" s="47">
        <f t="shared" ref="D8:F8" si="3">SUM(D3:D7)</f>
        <v>498878.99</v>
      </c>
      <c r="E8" s="47">
        <f t="shared" si="3"/>
        <v>748316.49</v>
      </c>
      <c r="F8" s="47">
        <f t="shared" si="3"/>
        <v>1122472.74</v>
      </c>
    </row>
    <row r="9" spans="1:6" ht="30" customHeight="1" x14ac:dyDescent="0.2">
      <c r="B9" s="11"/>
      <c r="C9" s="47"/>
      <c r="D9" s="47"/>
      <c r="E9" s="47"/>
      <c r="F9" s="47"/>
    </row>
    <row r="10" spans="1:6" ht="30" customHeight="1" x14ac:dyDescent="0.2">
      <c r="B10" s="11" t="s">
        <v>8</v>
      </c>
      <c r="C10" s="47">
        <v>-75000</v>
      </c>
      <c r="D10" s="47">
        <f>C10*0.75</f>
        <v>-56250</v>
      </c>
      <c r="E10" s="47">
        <f t="shared" ref="E10:F10" si="4">D10*0.75</f>
        <v>-42187.5</v>
      </c>
      <c r="F10" s="47">
        <f t="shared" si="4"/>
        <v>-31640.625</v>
      </c>
    </row>
    <row r="11" spans="1:6" ht="30" customHeight="1" x14ac:dyDescent="0.2">
      <c r="B11" s="11" t="s">
        <v>11</v>
      </c>
      <c r="C11" s="47">
        <v>-125000</v>
      </c>
      <c r="D11" s="47">
        <f>C11*0.75</f>
        <v>-93750</v>
      </c>
      <c r="E11" s="47">
        <f t="shared" ref="E11:F11" si="5">D11*0.75</f>
        <v>-70312.5</v>
      </c>
      <c r="F11" s="47">
        <f t="shared" si="5"/>
        <v>-52734.375</v>
      </c>
    </row>
    <row r="12" spans="1:6" ht="30" customHeight="1" x14ac:dyDescent="0.2">
      <c r="B12" s="11" t="s">
        <v>10</v>
      </c>
      <c r="C12" s="47">
        <f>-(C8*0.125)</f>
        <v>-40531.748749999999</v>
      </c>
      <c r="D12" s="47">
        <f t="shared" ref="D12:F12" si="6">-(D8*0.125)</f>
        <v>-62359.873749999999</v>
      </c>
      <c r="E12" s="47">
        <f t="shared" si="6"/>
        <v>-93539.561249999999</v>
      </c>
      <c r="F12" s="47">
        <f t="shared" si="6"/>
        <v>-140309.0925</v>
      </c>
    </row>
    <row r="13" spans="1:6" s="4" customFormat="1" ht="30" customHeight="1" thickBot="1" x14ac:dyDescent="0.25">
      <c r="A13" s="1"/>
      <c r="B13" s="13" t="s">
        <v>5</v>
      </c>
      <c r="C13" s="48">
        <f>SUM(C3:C12)</f>
        <v>407976.23124999995</v>
      </c>
      <c r="D13" s="48">
        <f>SUM(D3:D12)</f>
        <v>785398.10624999995</v>
      </c>
      <c r="E13" s="48">
        <f>SUM(E3:E12)</f>
        <v>1290593.41875</v>
      </c>
      <c r="F13" s="48">
        <f>SUM(F3:F12)</f>
        <v>2020261.3875</v>
      </c>
    </row>
    <row r="14" spans="1:6" ht="30" customHeight="1" x14ac:dyDescent="0.2">
      <c r="B14" s="5" t="s">
        <v>21</v>
      </c>
      <c r="C14" s="42"/>
      <c r="D14" s="42"/>
      <c r="E14" s="42"/>
      <c r="F14" s="42"/>
    </row>
    <row r="15" spans="1:6" ht="30" customHeight="1" x14ac:dyDescent="0.2">
      <c r="B15" s="11" t="s">
        <v>13</v>
      </c>
      <c r="C15" s="47">
        <v>-35000</v>
      </c>
      <c r="D15" s="47">
        <f>C15*1.5</f>
        <v>-52500</v>
      </c>
      <c r="E15" s="47">
        <f t="shared" ref="E15:F15" si="7">D15*1.5</f>
        <v>-78750</v>
      </c>
      <c r="F15" s="47">
        <f t="shared" si="7"/>
        <v>-118125</v>
      </c>
    </row>
    <row r="16" spans="1:6" ht="30" customHeight="1" x14ac:dyDescent="0.2">
      <c r="B16" s="11" t="s">
        <v>14</v>
      </c>
      <c r="C16" s="47">
        <f>C15*0.1</f>
        <v>-3500</v>
      </c>
      <c r="D16" s="47">
        <f t="shared" ref="D16:F16" si="8">D15*0.1</f>
        <v>-5250</v>
      </c>
      <c r="E16" s="47">
        <f t="shared" si="8"/>
        <v>-7875</v>
      </c>
      <c r="F16" s="47">
        <f t="shared" si="8"/>
        <v>-11812.5</v>
      </c>
    </row>
    <row r="17" spans="1:6" s="2" customFormat="1" ht="30" customHeight="1" x14ac:dyDescent="0.2">
      <c r="B17" s="11" t="s">
        <v>15</v>
      </c>
      <c r="C17" s="47">
        <f>-(C16*0.12)</f>
        <v>420</v>
      </c>
      <c r="D17" s="47">
        <f t="shared" ref="D17:F17" si="9">-(D16*0.12)</f>
        <v>630</v>
      </c>
      <c r="E17" s="47">
        <f t="shared" si="9"/>
        <v>945</v>
      </c>
      <c r="F17" s="47">
        <f t="shared" si="9"/>
        <v>1417.5</v>
      </c>
    </row>
    <row r="18" spans="1:6" s="2" customFormat="1" ht="30" customHeight="1" thickBot="1" x14ac:dyDescent="0.25">
      <c r="B18" s="13" t="s">
        <v>16</v>
      </c>
      <c r="C18" s="48">
        <f>SUM(C15:C17)</f>
        <v>-38080</v>
      </c>
      <c r="D18" s="48">
        <f>SUM(D15:D17)</f>
        <v>-57120</v>
      </c>
      <c r="E18" s="48">
        <f>SUM(E15:E17)</f>
        <v>-85680</v>
      </c>
      <c r="F18" s="48">
        <f>SUM(F15:F17)</f>
        <v>-128520</v>
      </c>
    </row>
    <row r="19" spans="1:6" ht="30" customHeight="1" x14ac:dyDescent="0.2">
      <c r="B19" s="5" t="s">
        <v>20</v>
      </c>
      <c r="C19" s="42"/>
      <c r="D19" s="42"/>
      <c r="E19" s="42"/>
      <c r="F19" s="42"/>
    </row>
    <row r="20" spans="1:6" ht="30" customHeight="1" x14ac:dyDescent="0.2">
      <c r="B20" s="11" t="s">
        <v>17</v>
      </c>
      <c r="C20" s="47">
        <v>25000</v>
      </c>
      <c r="D20" s="47">
        <v>0</v>
      </c>
      <c r="E20" s="47"/>
      <c r="F20" s="47">
        <v>0</v>
      </c>
    </row>
    <row r="21" spans="1:6" ht="30" customHeight="1" x14ac:dyDescent="0.2">
      <c r="B21" s="11" t="s">
        <v>18</v>
      </c>
      <c r="C21" s="47">
        <v>-30000</v>
      </c>
      <c r="D21" s="47">
        <f>C21*1.1</f>
        <v>-33000</v>
      </c>
      <c r="E21" s="47">
        <f>D21*1.15</f>
        <v>-37950</v>
      </c>
      <c r="F21" s="47">
        <f>E21*1.25</f>
        <v>-47437.5</v>
      </c>
    </row>
    <row r="22" spans="1:6" s="2" customFormat="1" ht="30" customHeight="1" thickBot="1" x14ac:dyDescent="0.25">
      <c r="B22" s="13" t="s">
        <v>19</v>
      </c>
      <c r="C22" s="48">
        <f>SUM(C20:C21)</f>
        <v>-5000</v>
      </c>
      <c r="D22" s="48">
        <f>SUM(D20:D21)</f>
        <v>-33000</v>
      </c>
      <c r="E22" s="48">
        <f>SUM(E20:E21)</f>
        <v>-37950</v>
      </c>
      <c r="F22" s="48">
        <f>SUM(F20:F21)</f>
        <v>-47437.5</v>
      </c>
    </row>
    <row r="23" spans="1:6" ht="30" customHeight="1" x14ac:dyDescent="0.2">
      <c r="B23" s="5" t="s">
        <v>23</v>
      </c>
      <c r="C23" s="42"/>
      <c r="D23" s="42"/>
      <c r="E23" s="42"/>
      <c r="F23" s="42"/>
    </row>
    <row r="24" spans="1:6" s="2" customFormat="1" ht="30" customHeight="1" x14ac:dyDescent="0.2">
      <c r="A24" s="1"/>
      <c r="B24" s="14" t="s">
        <v>0</v>
      </c>
      <c r="C24" s="49">
        <f>SUM(C22,C18,C13)</f>
        <v>364896.23124999995</v>
      </c>
      <c r="D24" s="49">
        <f>SUM(D22,D18,D13)</f>
        <v>695278.10624999995</v>
      </c>
      <c r="E24" s="49">
        <f>SUM(E22,E18,E13)</f>
        <v>1166963.41875</v>
      </c>
      <c r="F24" s="49">
        <f>SUM(F22,F18,F13)</f>
        <v>1844303.8875</v>
      </c>
    </row>
    <row r="25" spans="1:6" ht="30" customHeight="1" thickBot="1" x14ac:dyDescent="0.25">
      <c r="B25" s="12" t="s">
        <v>1</v>
      </c>
      <c r="C25" s="50">
        <v>0</v>
      </c>
      <c r="D25" s="50">
        <f>C26</f>
        <v>364896.23124999995</v>
      </c>
      <c r="E25" s="50">
        <f>D26</f>
        <v>1060174.3374999999</v>
      </c>
      <c r="F25" s="50">
        <f t="shared" ref="F25" si="10">E26</f>
        <v>2227137.7562499996</v>
      </c>
    </row>
    <row r="26" spans="1:6" ht="30" customHeight="1" thickTop="1" thickBot="1" x14ac:dyDescent="0.25">
      <c r="B26" s="15" t="s">
        <v>22</v>
      </c>
      <c r="C26" s="51">
        <f>SUM(C25,C24)</f>
        <v>364896.23124999995</v>
      </c>
      <c r="D26" s="51">
        <f>SUM(D25,D24)</f>
        <v>1060174.3374999999</v>
      </c>
      <c r="E26" s="51">
        <f>SUM(E25,E24)</f>
        <v>2227137.7562499996</v>
      </c>
      <c r="F26" s="51">
        <f>SUM(F25,F24)</f>
        <v>4071441.6437499998</v>
      </c>
    </row>
  </sheetData>
  <conditionalFormatting sqref="C3:C6 C8:C13 D8:F8 C15:F18 D10:F13 C20:F22 D5:F5">
    <cfRule type="cellIs" dxfId="6" priority="11" operator="lessThan">
      <formula>0</formula>
    </cfRule>
  </conditionalFormatting>
  <conditionalFormatting sqref="F24 F26">
    <cfRule type="cellIs" dxfId="5" priority="9" operator="lessThan">
      <formula>0</formula>
    </cfRule>
  </conditionalFormatting>
  <conditionalFormatting sqref="D24:E24 D25:F25 D26:E26">
    <cfRule type="cellIs" dxfId="4" priority="6" operator="lessThan">
      <formula>0</formula>
    </cfRule>
  </conditionalFormatting>
  <conditionalFormatting sqref="D3:F3 D6:F6 D9:F9">
    <cfRule type="cellIs" dxfId="3" priority="5" operator="lessThan">
      <formula>0</formula>
    </cfRule>
  </conditionalFormatting>
  <conditionalFormatting sqref="C24:C26">
    <cfRule type="cellIs" dxfId="2" priority="3" operator="lessThan">
      <formula>0</formula>
    </cfRule>
  </conditionalFormatting>
  <conditionalFormatting sqref="D4:F4">
    <cfRule type="cellIs" dxfId="1" priority="2" operator="lessThan">
      <formula>0</formula>
    </cfRule>
  </conditionalFormatting>
  <conditionalFormatting sqref="C7:F7">
    <cfRule type="cellIs" dxfId="0" priority="1" operator="lessThan">
      <formula>0</formula>
    </cfRule>
  </conditionalFormatting>
  <pageMargins left="0.4" right="0.4" top="0.4" bottom="0.4" header="0" footer="0"/>
  <pageSetup scale="72" fitToHeight="0" orientation="portrait" horizontalDpi="1200" verticalDpi="1200" r:id="rId1"/>
  <ignoredErrors>
    <ignoredError sqref="F13 C13:D1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616E5-09C5-4141-84C7-65ABD9C0717B}">
  <sheetPr>
    <tabColor theme="8" tint="0.39997558519241921"/>
    <pageSetUpPr fitToPage="1"/>
  </sheetPr>
  <dimension ref="A1:H35"/>
  <sheetViews>
    <sheetView showGridLines="0" topLeftCell="A2" zoomScaleNormal="100" workbookViewId="0">
      <selection activeCell="F49" sqref="F49"/>
    </sheetView>
  </sheetViews>
  <sheetFormatPr baseColWidth="10" defaultColWidth="8.83203125" defaultRowHeight="15" x14ac:dyDescent="0.2"/>
  <cols>
    <col min="1" max="1" width="19.6640625" style="1" customWidth="1"/>
    <col min="2" max="2" width="20.83203125" style="1" customWidth="1"/>
    <col min="3" max="4" width="14.33203125" style="1" customWidth="1"/>
    <col min="5" max="10" width="12.83203125" style="1" customWidth="1"/>
    <col min="11" max="16384" width="8.83203125" style="1"/>
  </cols>
  <sheetData>
    <row r="1" spans="1:8" ht="16" x14ac:dyDescent="0.2">
      <c r="B1" s="26"/>
    </row>
    <row r="2" spans="1:8" x14ac:dyDescent="0.2">
      <c r="A2" s="18"/>
      <c r="B2" s="25" t="s">
        <v>48</v>
      </c>
      <c r="C2" s="25"/>
      <c r="D2" s="25"/>
      <c r="E2" s="25">
        <f>YEAR([3]Assumptions!$C$7)</f>
        <v>2021</v>
      </c>
      <c r="F2" s="25">
        <f>E2+1</f>
        <v>2022</v>
      </c>
      <c r="G2" s="25">
        <f>F2+1</f>
        <v>2023</v>
      </c>
      <c r="H2" s="25">
        <f>G2+1</f>
        <v>2024</v>
      </c>
    </row>
    <row r="3" spans="1:8" x14ac:dyDescent="0.2">
      <c r="A3" s="18"/>
      <c r="B3" s="39" t="s">
        <v>47</v>
      </c>
      <c r="C3" s="39"/>
      <c r="D3" s="39"/>
      <c r="E3" s="44">
        <f>'4 Year Cash Flow Statement'!C4</f>
        <v>75000</v>
      </c>
      <c r="F3" s="44">
        <f>'4 Year Cash Flow Statement'!D4</f>
        <v>112500</v>
      </c>
      <c r="G3" s="44">
        <f>'4 Year Cash Flow Statement'!E4</f>
        <v>168750</v>
      </c>
      <c r="H3" s="44">
        <f>'4 Year Cash Flow Statement'!F4</f>
        <v>253125</v>
      </c>
    </row>
    <row r="4" spans="1:8" ht="16" x14ac:dyDescent="0.2">
      <c r="A4" s="18"/>
      <c r="B4" s="39" t="s">
        <v>46</v>
      </c>
      <c r="C4" s="39"/>
      <c r="D4" s="39"/>
      <c r="E4" s="45">
        <f>0.15*E3</f>
        <v>11250</v>
      </c>
      <c r="F4" s="45">
        <f>0.25*F3</f>
        <v>28125</v>
      </c>
      <c r="G4" s="45">
        <f>0.35*G3</f>
        <v>59062.499999999993</v>
      </c>
      <c r="H4" s="45">
        <f>0.5*H3</f>
        <v>126562.5</v>
      </c>
    </row>
    <row r="5" spans="1:8" ht="16" thickBot="1" x14ac:dyDescent="0.25">
      <c r="A5" s="18"/>
      <c r="B5" s="41" t="s">
        <v>45</v>
      </c>
      <c r="C5" s="41"/>
      <c r="D5" s="41"/>
      <c r="E5" s="40">
        <f>E4/E3</f>
        <v>0.15</v>
      </c>
      <c r="F5" s="40">
        <f>F4/F3</f>
        <v>0.25</v>
      </c>
      <c r="G5" s="40">
        <f>G4/G3</f>
        <v>0.35</v>
      </c>
      <c r="H5" s="40">
        <f>H4/H3</f>
        <v>0.5</v>
      </c>
    </row>
    <row r="6" spans="1:8" x14ac:dyDescent="0.2">
      <c r="A6" s="18"/>
    </row>
    <row r="7" spans="1:8" ht="16" x14ac:dyDescent="0.2">
      <c r="A7" s="18"/>
      <c r="B7" s="1" t="s">
        <v>49</v>
      </c>
      <c r="E7" s="46">
        <f>'4 Year Cash Flow Statement'!C3</f>
        <v>299250</v>
      </c>
      <c r="F7" s="46">
        <f>'4 Year Cash Flow Statement'!D3</f>
        <v>448875</v>
      </c>
      <c r="G7" s="46">
        <f>'4 Year Cash Flow Statement'!E3</f>
        <v>673312.5</v>
      </c>
      <c r="H7" s="46">
        <f>'4 Year Cash Flow Statement'!F3</f>
        <v>1009968.75</v>
      </c>
    </row>
    <row r="8" spans="1:8" ht="16" x14ac:dyDescent="0.2">
      <c r="A8" s="18"/>
      <c r="B8" s="1" t="s">
        <v>44</v>
      </c>
      <c r="E8" s="46">
        <f>'4 Year Cash Flow Statement'!C6</f>
        <v>25000</v>
      </c>
      <c r="F8" s="46">
        <f>'4 Year Cash Flow Statement'!D6</f>
        <v>50000</v>
      </c>
      <c r="G8" s="46">
        <f>'4 Year Cash Flow Statement'!E6</f>
        <v>75000</v>
      </c>
      <c r="H8" s="46">
        <f>'4 Year Cash Flow Statement'!F6</f>
        <v>112500</v>
      </c>
    </row>
    <row r="9" spans="1:8" x14ac:dyDescent="0.2">
      <c r="A9" s="18"/>
      <c r="B9" s="34" t="s">
        <v>27</v>
      </c>
      <c r="C9" s="34"/>
      <c r="D9" s="34"/>
      <c r="E9" s="33">
        <f>SUM(E7:E8)</f>
        <v>324250</v>
      </c>
      <c r="F9" s="33">
        <f>SUM(F7:F8)</f>
        <v>498875</v>
      </c>
      <c r="G9" s="33">
        <f>SUM(G7:G8)</f>
        <v>748312.5</v>
      </c>
      <c r="H9" s="33">
        <f>SUM(H7:H8)</f>
        <v>1122468.75</v>
      </c>
    </row>
    <row r="10" spans="1:8" x14ac:dyDescent="0.2">
      <c r="A10" s="18"/>
    </row>
    <row r="11" spans="1:8" ht="16" x14ac:dyDescent="0.2">
      <c r="A11" s="18"/>
      <c r="B11" s="38" t="s">
        <v>43</v>
      </c>
      <c r="E11" s="46">
        <f>'4 Year Cash Flow Statement'!C11</f>
        <v>-125000</v>
      </c>
      <c r="F11" s="46">
        <f>'4 Year Cash Flow Statement'!D11</f>
        <v>-93750</v>
      </c>
      <c r="G11" s="46">
        <f>'4 Year Cash Flow Statement'!E11</f>
        <v>-70312.5</v>
      </c>
      <c r="H11" s="46">
        <f>'4 Year Cash Flow Statement'!F11</f>
        <v>-52734.375</v>
      </c>
    </row>
    <row r="12" spans="1:8" ht="16" x14ac:dyDescent="0.2">
      <c r="A12" s="18"/>
      <c r="B12" s="35"/>
      <c r="E12" s="21"/>
      <c r="F12" s="21"/>
      <c r="G12" s="21"/>
      <c r="H12" s="21"/>
    </row>
    <row r="13" spans="1:8" x14ac:dyDescent="0.2">
      <c r="A13" s="18"/>
      <c r="B13" s="34" t="s">
        <v>42</v>
      </c>
      <c r="C13" s="34"/>
      <c r="D13" s="34"/>
      <c r="E13" s="33">
        <f>E9-E11</f>
        <v>449250</v>
      </c>
      <c r="F13" s="33">
        <f>F9-F11</f>
        <v>592625</v>
      </c>
      <c r="G13" s="33">
        <f>G9-G11</f>
        <v>818625</v>
      </c>
      <c r="H13" s="33">
        <f>H9-H11</f>
        <v>1175203.125</v>
      </c>
    </row>
    <row r="14" spans="1:8" x14ac:dyDescent="0.2">
      <c r="A14" s="18"/>
      <c r="B14" s="18" t="s">
        <v>41</v>
      </c>
      <c r="C14" s="18"/>
      <c r="D14" s="18"/>
      <c r="E14" s="37">
        <f>IFERROR(E13/E9,"-")</f>
        <v>1.3855050115651504</v>
      </c>
      <c r="F14" s="37">
        <f>IFERROR(F13/F9,"-")</f>
        <v>1.1879228263593085</v>
      </c>
      <c r="G14" s="37">
        <f>IFERROR(G13/G9,"-")</f>
        <v>1.0939614131796542</v>
      </c>
      <c r="H14" s="37">
        <f>IFERROR(H13/H9,"-")</f>
        <v>1.0469807065898271</v>
      </c>
    </row>
    <row r="15" spans="1:8" ht="16" x14ac:dyDescent="0.2">
      <c r="A15" s="18"/>
      <c r="B15" s="35"/>
      <c r="E15" s="21"/>
      <c r="F15" s="21"/>
      <c r="G15" s="21"/>
      <c r="H15" s="21"/>
    </row>
    <row r="16" spans="1:8" ht="16" x14ac:dyDescent="0.2">
      <c r="A16" s="18"/>
      <c r="B16" s="35" t="s">
        <v>40</v>
      </c>
      <c r="E16" s="21">
        <f>'4 Year Cash Flow Statement'!C7</f>
        <v>-75000</v>
      </c>
      <c r="F16" s="21">
        <f>'4 Year Cash Flow Statement'!D7</f>
        <v>-112500</v>
      </c>
      <c r="G16" s="21">
        <f>'4 Year Cash Flow Statement'!E7</f>
        <v>-168750</v>
      </c>
      <c r="H16" s="21">
        <f>'4 Year Cash Flow Statement'!F7</f>
        <v>-253125</v>
      </c>
    </row>
    <row r="17" spans="1:8" ht="16" x14ac:dyDescent="0.2">
      <c r="A17" s="18"/>
      <c r="B17" s="35" t="s">
        <v>39</v>
      </c>
      <c r="E17" s="21">
        <f>'4 Year Cash Flow Statement'!C15+'4 Year Cash Flow Statement'!C16+'4 Year Cash Flow Statement'!C21</f>
        <v>-68500</v>
      </c>
      <c r="F17" s="21">
        <f>'4 Year Cash Flow Statement'!D15+'4 Year Cash Flow Statement'!D16+'4 Year Cash Flow Statement'!D21</f>
        <v>-90750</v>
      </c>
      <c r="G17" s="21">
        <f>'4 Year Cash Flow Statement'!E15+'4 Year Cash Flow Statement'!E16+'4 Year Cash Flow Statement'!E21</f>
        <v>-124575</v>
      </c>
      <c r="H17" s="21">
        <f>'4 Year Cash Flow Statement'!F15+'4 Year Cash Flow Statement'!F16+'4 Year Cash Flow Statement'!F21</f>
        <v>-177375</v>
      </c>
    </row>
    <row r="18" spans="1:8" x14ac:dyDescent="0.2">
      <c r="A18" s="18"/>
      <c r="B18" s="34" t="s">
        <v>38</v>
      </c>
      <c r="C18" s="34"/>
      <c r="D18" s="34"/>
      <c r="E18" s="33">
        <f>SUM(E16:E17)</f>
        <v>-143500</v>
      </c>
      <c r="F18" s="33">
        <f t="shared" ref="F18:H18" si="0">SUM(F16:F17)</f>
        <v>-203250</v>
      </c>
      <c r="G18" s="33">
        <f t="shared" si="0"/>
        <v>-293325</v>
      </c>
      <c r="H18" s="33">
        <f t="shared" si="0"/>
        <v>-430500</v>
      </c>
    </row>
    <row r="19" spans="1:8" x14ac:dyDescent="0.2">
      <c r="A19" s="18"/>
    </row>
    <row r="20" spans="1:8" x14ac:dyDescent="0.2">
      <c r="A20" s="18"/>
      <c r="B20" s="34" t="s">
        <v>26</v>
      </c>
      <c r="C20" s="34"/>
      <c r="D20" s="34"/>
      <c r="E20" s="33">
        <f>E13+E18</f>
        <v>305750</v>
      </c>
      <c r="F20" s="33">
        <f t="shared" ref="F20:H20" si="1">F13+F18</f>
        <v>389375</v>
      </c>
      <c r="G20" s="33">
        <f t="shared" si="1"/>
        <v>525300</v>
      </c>
      <c r="H20" s="33">
        <f t="shared" si="1"/>
        <v>744703.125</v>
      </c>
    </row>
    <row r="21" spans="1:8" x14ac:dyDescent="0.2">
      <c r="A21" s="18"/>
      <c r="B21" s="18" t="s">
        <v>37</v>
      </c>
      <c r="C21" s="18"/>
      <c r="D21" s="18"/>
      <c r="E21" s="36">
        <f>IFERROR(E$20/E$9,"-")</f>
        <v>0.94294525828835773</v>
      </c>
      <c r="F21" s="36">
        <f>IFERROR(F$20/F$9,"-")</f>
        <v>0.78050613881232778</v>
      </c>
      <c r="G21" s="36">
        <f>IFERROR(G$20/G$9,"-")</f>
        <v>0.7019794537709847</v>
      </c>
      <c r="H21" s="36">
        <f>IFERROR(H$20/H$9,"-")</f>
        <v>0.66345109830451854</v>
      </c>
    </row>
    <row r="22" spans="1:8" x14ac:dyDescent="0.2">
      <c r="A22" s="18"/>
    </row>
    <row r="23" spans="1:8" ht="16" x14ac:dyDescent="0.2">
      <c r="A23" s="18"/>
      <c r="B23" s="35" t="s">
        <v>36</v>
      </c>
      <c r="E23" s="21">
        <f>'4 Year Cash Flow Statement'!C10</f>
        <v>-75000</v>
      </c>
      <c r="F23" s="21">
        <f>'4 Year Cash Flow Statement'!D10</f>
        <v>-56250</v>
      </c>
      <c r="G23" s="21">
        <f>'4 Year Cash Flow Statement'!E10</f>
        <v>-42187.5</v>
      </c>
      <c r="H23" s="21">
        <f>'4 Year Cash Flow Statement'!F10</f>
        <v>-31640.625</v>
      </c>
    </row>
    <row r="24" spans="1:8" x14ac:dyDescent="0.2">
      <c r="A24" s="18"/>
      <c r="B24" s="34" t="s">
        <v>35</v>
      </c>
      <c r="C24" s="34"/>
      <c r="D24" s="34"/>
      <c r="E24" s="33">
        <f>SUM(E23)</f>
        <v>-75000</v>
      </c>
      <c r="F24" s="33">
        <f>SUM(F23)</f>
        <v>-56250</v>
      </c>
      <c r="G24" s="33">
        <f>SUM(G23)</f>
        <v>-42187.5</v>
      </c>
      <c r="H24" s="33">
        <f>SUM(H23)</f>
        <v>-31640.625</v>
      </c>
    </row>
    <row r="25" spans="1:8" x14ac:dyDescent="0.2">
      <c r="A25" s="18"/>
    </row>
    <row r="26" spans="1:8" x14ac:dyDescent="0.2">
      <c r="A26" s="18"/>
      <c r="B26" s="34" t="s">
        <v>25</v>
      </c>
      <c r="C26" s="34"/>
      <c r="D26" s="34"/>
      <c r="E26" s="33">
        <f>E20-E24</f>
        <v>380750</v>
      </c>
      <c r="F26" s="33">
        <f>F20-F24</f>
        <v>445625</v>
      </c>
      <c r="G26" s="33">
        <f>G20-G24</f>
        <v>567487.5</v>
      </c>
      <c r="H26" s="33">
        <f>H20-H24</f>
        <v>776343.75</v>
      </c>
    </row>
    <row r="27" spans="1:8" x14ac:dyDescent="0.2">
      <c r="A27" s="18"/>
      <c r="B27" s="18" t="s">
        <v>24</v>
      </c>
      <c r="C27" s="18"/>
      <c r="D27" s="18"/>
      <c r="E27" s="32">
        <f>E26</f>
        <v>380750</v>
      </c>
      <c r="F27" s="32">
        <f>E27+F26</f>
        <v>826375</v>
      </c>
      <c r="G27" s="32">
        <f>F27+G26</f>
        <v>1393862.5</v>
      </c>
      <c r="H27" s="32">
        <f>G27+H26</f>
        <v>2170206.25</v>
      </c>
    </row>
    <row r="28" spans="1:8" x14ac:dyDescent="0.2">
      <c r="A28" s="18"/>
    </row>
    <row r="29" spans="1:8" x14ac:dyDescent="0.2">
      <c r="A29" s="18"/>
    </row>
    <row r="30" spans="1:8" x14ac:dyDescent="0.2">
      <c r="A30" s="18"/>
      <c r="B30" s="25" t="s">
        <v>34</v>
      </c>
      <c r="C30" s="25"/>
      <c r="D30" s="25"/>
      <c r="E30" s="25">
        <f>YEAR([3]Assumptions!$C$7)</f>
        <v>2021</v>
      </c>
      <c r="F30" s="25">
        <f>E30+1</f>
        <v>2022</v>
      </c>
      <c r="G30" s="25">
        <f>F30+1</f>
        <v>2023</v>
      </c>
      <c r="H30" s="25">
        <f>G30+1</f>
        <v>2024</v>
      </c>
    </row>
    <row r="31" spans="1:8" x14ac:dyDescent="0.2">
      <c r="A31" s="18"/>
      <c r="B31" s="1" t="s">
        <v>25</v>
      </c>
      <c r="E31" s="31">
        <f>E$26</f>
        <v>380750</v>
      </c>
      <c r="F31" s="31">
        <f>F$26</f>
        <v>445625</v>
      </c>
      <c r="G31" s="31">
        <f>G$26</f>
        <v>567487.5</v>
      </c>
      <c r="H31" s="31">
        <f>H$26</f>
        <v>776343.75</v>
      </c>
    </row>
    <row r="32" spans="1:8" ht="16" x14ac:dyDescent="0.2">
      <c r="A32" s="1" t="s">
        <v>50</v>
      </c>
      <c r="B32" s="30"/>
      <c r="C32" s="29">
        <f>0.25</f>
        <v>0.25</v>
      </c>
    </row>
    <row r="33" spans="1:8" x14ac:dyDescent="0.2">
      <c r="A33" s="18"/>
      <c r="B33" s="20" t="s">
        <v>33</v>
      </c>
      <c r="C33" s="20"/>
      <c r="D33" s="20"/>
      <c r="E33" s="43">
        <f>SUM(E31:E32)</f>
        <v>380750</v>
      </c>
      <c r="F33" s="43">
        <f>SUM(F31:F32)</f>
        <v>445625</v>
      </c>
      <c r="G33" s="43">
        <f>SUM(G31:G32)</f>
        <v>567487.5</v>
      </c>
      <c r="H33" s="43">
        <f>SUM(H31:H32)</f>
        <v>776343.75</v>
      </c>
    </row>
    <row r="35" spans="1:8" x14ac:dyDescent="0.2">
      <c r="B35" s="28" t="s">
        <v>32</v>
      </c>
      <c r="C35" s="27">
        <f>NPV($C$32,$E$33:$H$33)</f>
        <v>1198344</v>
      </c>
    </row>
  </sheetData>
  <pageMargins left="0.7" right="0.7" top="0.75" bottom="0.75" header="0.3" footer="0.3"/>
  <pageSetup paperSize="9" scale="9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FE3E6-73B2-A842-A6DB-78C450CE376A}">
  <sheetPr>
    <tabColor theme="8" tint="0.39997558519241921"/>
    <pageSetUpPr fitToPage="1"/>
  </sheetPr>
  <dimension ref="B1:F28"/>
  <sheetViews>
    <sheetView showGridLines="0" tabSelected="1" zoomScale="80" zoomScaleNormal="80" workbookViewId="0">
      <selection activeCell="G20" sqref="G20"/>
    </sheetView>
  </sheetViews>
  <sheetFormatPr baseColWidth="10" defaultColWidth="8.83203125" defaultRowHeight="15" x14ac:dyDescent="0.2"/>
  <cols>
    <col min="1" max="1" width="8.83203125" style="1"/>
    <col min="2" max="2" width="30" style="1" bestFit="1" customWidth="1"/>
    <col min="3" max="7" width="24.1640625" style="1" customWidth="1"/>
    <col min="8" max="8" width="19.6640625" style="1" customWidth="1"/>
    <col min="9" max="16384" width="8.83203125" style="1"/>
  </cols>
  <sheetData>
    <row r="1" spans="2:2" ht="16" x14ac:dyDescent="0.2">
      <c r="B1" s="26"/>
    </row>
    <row r="17" spans="2:6" ht="175" customHeight="1" x14ac:dyDescent="0.2"/>
    <row r="18" spans="2:6" ht="175" customHeight="1" x14ac:dyDescent="0.2"/>
    <row r="19" spans="2:6" ht="155" customHeight="1" x14ac:dyDescent="0.2"/>
    <row r="20" spans="2:6" x14ac:dyDescent="0.2">
      <c r="B20" s="25" t="s">
        <v>25</v>
      </c>
      <c r="C20" s="24">
        <f>'Summary and Returns'!E2</f>
        <v>2021</v>
      </c>
      <c r="D20" s="24">
        <f>'Summary and Returns'!F2</f>
        <v>2022</v>
      </c>
      <c r="E20" s="24">
        <f>'Summary and Returns'!G2</f>
        <v>2023</v>
      </c>
      <c r="F20" s="24">
        <f>'Summary and Returns'!H2</f>
        <v>2024</v>
      </c>
    </row>
    <row r="21" spans="2:6" x14ac:dyDescent="0.2">
      <c r="B21" s="23" t="s">
        <v>31</v>
      </c>
      <c r="C21" s="22">
        <f>'4 Year Cash Flow Statement'!C4</f>
        <v>75000</v>
      </c>
      <c r="D21" s="22">
        <f>'4 Year Cash Flow Statement'!D4</f>
        <v>112500</v>
      </c>
      <c r="E21" s="22">
        <f>'4 Year Cash Flow Statement'!E4</f>
        <v>168750</v>
      </c>
      <c r="F21" s="22">
        <f>'4 Year Cash Flow Statement'!F4</f>
        <v>253125</v>
      </c>
    </row>
    <row r="22" spans="2:6" ht="16" x14ac:dyDescent="0.2">
      <c r="B22" s="1" t="s">
        <v>30</v>
      </c>
      <c r="C22" s="21">
        <f>-SUM('4 Year Cash Flow Statement'!C7+'4 Year Cash Flow Statement'!C10+'4 Year Cash Flow Statement'!C11+'4 Year Cash Flow Statement'!C15+'4 Year Cash Flow Statement'!C16+'4 Year Cash Flow Statement'!C21)</f>
        <v>343500</v>
      </c>
      <c r="D22" s="21">
        <f>-SUM('4 Year Cash Flow Statement'!D7+'4 Year Cash Flow Statement'!D10+'4 Year Cash Flow Statement'!D11+'4 Year Cash Flow Statement'!D15+'4 Year Cash Flow Statement'!D16+'4 Year Cash Flow Statement'!D21)</f>
        <v>353250</v>
      </c>
      <c r="E22" s="21">
        <f>-SUM('4 Year Cash Flow Statement'!E7+'4 Year Cash Flow Statement'!E10+'4 Year Cash Flow Statement'!E11+'4 Year Cash Flow Statement'!E15+'4 Year Cash Flow Statement'!E16+'4 Year Cash Flow Statement'!E21)</f>
        <v>405825</v>
      </c>
      <c r="F22" s="21">
        <f>-SUM('4 Year Cash Flow Statement'!F7+'4 Year Cash Flow Statement'!F10+'4 Year Cash Flow Statement'!F11+'4 Year Cash Flow Statement'!F15+'4 Year Cash Flow Statement'!F16+'4 Year Cash Flow Statement'!F21)</f>
        <v>514875</v>
      </c>
    </row>
    <row r="23" spans="2:6" ht="16" x14ac:dyDescent="0.2">
      <c r="B23" s="1" t="s">
        <v>29</v>
      </c>
      <c r="C23" s="21">
        <f>'Summary and Returns'!E7</f>
        <v>299250</v>
      </c>
      <c r="D23" s="21">
        <f>'Summary and Returns'!F7</f>
        <v>448875</v>
      </c>
      <c r="E23" s="21">
        <f>'Summary and Returns'!G7</f>
        <v>673312.5</v>
      </c>
      <c r="F23" s="21">
        <f>'Summary and Returns'!H7</f>
        <v>1009968.75</v>
      </c>
    </row>
    <row r="24" spans="2:6" ht="16" x14ac:dyDescent="0.2">
      <c r="B24" s="1" t="s">
        <v>28</v>
      </c>
      <c r="C24" s="21">
        <f>'Summary and Returns'!E8</f>
        <v>25000</v>
      </c>
      <c r="D24" s="21">
        <f>'Summary and Returns'!F8</f>
        <v>50000</v>
      </c>
      <c r="E24" s="21">
        <f>'Summary and Returns'!G8</f>
        <v>75000</v>
      </c>
      <c r="F24" s="21">
        <f>'Summary and Returns'!H8</f>
        <v>112500</v>
      </c>
    </row>
    <row r="25" spans="2:6" ht="16" x14ac:dyDescent="0.2">
      <c r="B25" s="1" t="s">
        <v>27</v>
      </c>
      <c r="C25" s="21">
        <f>SUM(C23:C24)</f>
        <v>324250</v>
      </c>
      <c r="D25" s="21">
        <f>SUM(D23:D24)</f>
        <v>498875</v>
      </c>
      <c r="E25" s="21">
        <f>SUM(E23:E24)</f>
        <v>748312.5</v>
      </c>
      <c r="F25" s="21">
        <f>SUM(F23:F24)</f>
        <v>1122468.75</v>
      </c>
    </row>
    <row r="26" spans="2:6" ht="16" x14ac:dyDescent="0.2">
      <c r="B26" s="1" t="s">
        <v>26</v>
      </c>
      <c r="C26" s="21">
        <f>'Summary and Returns'!E20</f>
        <v>305750</v>
      </c>
      <c r="D26" s="21">
        <f>'Summary and Returns'!F20</f>
        <v>389375</v>
      </c>
      <c r="E26" s="21">
        <f>'Summary and Returns'!G20</f>
        <v>525300</v>
      </c>
      <c r="F26" s="21">
        <f>'Summary and Returns'!H20</f>
        <v>744703.125</v>
      </c>
    </row>
    <row r="27" spans="2:6" x14ac:dyDescent="0.2">
      <c r="B27" s="20" t="s">
        <v>25</v>
      </c>
      <c r="C27" s="19">
        <f>'Summary and Returns'!E26</f>
        <v>380750</v>
      </c>
      <c r="D27" s="19">
        <f>'Summary and Returns'!F26</f>
        <v>445625</v>
      </c>
      <c r="E27" s="19">
        <f>'Summary and Returns'!G26</f>
        <v>567487.5</v>
      </c>
      <c r="F27" s="19">
        <f>'Summary and Returns'!H26</f>
        <v>776343.75</v>
      </c>
    </row>
    <row r="28" spans="2:6" x14ac:dyDescent="0.2">
      <c r="B28" s="18" t="s">
        <v>24</v>
      </c>
      <c r="C28" s="17">
        <f>C27</f>
        <v>380750</v>
      </c>
      <c r="D28" s="17">
        <f>C28+D27</f>
        <v>826375</v>
      </c>
      <c r="E28" s="17">
        <f>D28+E27</f>
        <v>1393862.5</v>
      </c>
      <c r="F28" s="17">
        <f>E28+F27</f>
        <v>2170206.25</v>
      </c>
    </row>
  </sheetData>
  <pageMargins left="0.7" right="0.7" top="0.75" bottom="0.75" header="0.3" footer="0.3"/>
  <pageSetup paperSize="9" scale="9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4 Year Cash Flow Statement</vt:lpstr>
      <vt:lpstr>Summary and Returns</vt:lpstr>
      <vt:lpstr>Graphs</vt:lpstr>
      <vt:lpstr>'4 Year Cash Flow Statement'!Print_Area</vt:lpstr>
      <vt:lpstr>Graphs!Print_Area</vt:lpstr>
      <vt:lpstr>'Summary and Returns'!Print_Area</vt:lpstr>
    </vt:vector>
  </TitlesOfParts>
  <Company>Smartsheet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 Ragazhinskaya</dc:creator>
  <cp:lastModifiedBy>Lars Kübler</cp:lastModifiedBy>
  <dcterms:created xsi:type="dcterms:W3CDTF">2015-10-16T18:32:25Z</dcterms:created>
  <dcterms:modified xsi:type="dcterms:W3CDTF">2021-04-20T18:55:06Z</dcterms:modified>
</cp:coreProperties>
</file>